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7B59EB4-A230-4041-A8D3-23A77B7212A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ổng Quan Báo Cáo" sheetId="1" r:id="rId1"/>
    <sheet name="Dữ Liệu Chi Tiế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1" l="1"/>
  <c r="D15" i="1"/>
  <c r="C15" i="1"/>
  <c r="F15" i="1" s="1"/>
  <c r="E14" i="1"/>
  <c r="D14" i="1"/>
  <c r="C14" i="1"/>
  <c r="F14" i="1" s="1"/>
  <c r="E13" i="1"/>
  <c r="D13" i="1"/>
  <c r="D16" i="1" s="1"/>
  <c r="C13" i="1"/>
  <c r="F13" i="1" s="1"/>
  <c r="E12" i="1"/>
  <c r="E16" i="1" s="1"/>
  <c r="D12" i="1"/>
  <c r="C12" i="1"/>
  <c r="F12" i="1" s="1"/>
  <c r="F16" i="1" s="1"/>
  <c r="E8" i="1"/>
  <c r="D8" i="1"/>
  <c r="C8" i="1"/>
  <c r="B8" i="1"/>
  <c r="C16" i="1" l="1"/>
</calcChain>
</file>

<file path=xl/sharedStrings.xml><?xml version="1.0" encoding="utf-8"?>
<sst xmlns="http://schemas.openxmlformats.org/spreadsheetml/2006/main" count="189" uniqueCount="127">
  <si>
    <t>BÁO CÁO THỐNG KÊ TIẾP NHẬN VÀ GIẢI QUYẾT THỦ TỤC HÀNH CHÍNH</t>
  </si>
  <si>
    <t>Đơn vị thực hiện:</t>
  </si>
  <si>
    <t>Văn phòng Ủy ban Nhân dân Huyện</t>
  </si>
  <si>
    <t>Thời gian báo cáo:</t>
  </si>
  <si>
    <t>Quý II / 2026</t>
  </si>
  <si>
    <t>Tổng số hồ sơ tiếp nhận</t>
  </si>
  <si>
    <t>Hồ sơ đã giải quyết đúng hạn</t>
  </si>
  <si>
    <t>Hồ sơ đang giải quyết</t>
  </si>
  <si>
    <t>Hồ sơ trễ hạn</t>
  </si>
  <si>
    <t>STT</t>
  </si>
  <si>
    <t>Phòng Ban Chuyên Trách</t>
  </si>
  <si>
    <t>Tổng Tiếp Nhận</t>
  </si>
  <si>
    <t>Đã Trả Kết Quả</t>
  </si>
  <si>
    <t>Đang Xử Lý</t>
  </si>
  <si>
    <t>Tỷ Lệ Đúng Hạn</t>
  </si>
  <si>
    <t>Phòng Tư pháp</t>
  </si>
  <si>
    <t>Phòng Tài nguyên và Môi trường</t>
  </si>
  <si>
    <t>Phòng Quản lý Đô thị</t>
  </si>
  <si>
    <t>Phòng Lao động - TB&amp;XH</t>
  </si>
  <si>
    <t>Tổng</t>
  </si>
  <si>
    <t>Mã Hồ Sơ</t>
  </si>
  <si>
    <t>Tên Thủ Tục Hành Chính (TTHC)</t>
  </si>
  <si>
    <t>Cơ Quan/Phòng Ban</t>
  </si>
  <si>
    <t>Người Nộp</t>
  </si>
  <si>
    <t>Ngày Tiếp Nhận</t>
  </si>
  <si>
    <t>Số Lượng Chứng Từ</t>
  </si>
  <si>
    <t>Hạn Trả Kết Quả</t>
  </si>
  <si>
    <t>Trạng Thái</t>
  </si>
  <si>
    <t>Đánh Giá Tiến Độ</t>
  </si>
  <si>
    <t>HS-2026-001</t>
  </si>
  <si>
    <t>Đăng ký khai sinh</t>
  </si>
  <si>
    <t>Nguyễn Văn A</t>
  </si>
  <si>
    <t>2026-06-01</t>
  </si>
  <si>
    <t>2026-06-03</t>
  </si>
  <si>
    <t>Đã trả kết quả</t>
  </si>
  <si>
    <t>Trước hạn</t>
  </si>
  <si>
    <t>HS-2026-002</t>
  </si>
  <si>
    <t>Cấp giấy chứng nhận quyền sử dụng đất</t>
  </si>
  <si>
    <t>Trần Thị B</t>
  </si>
  <si>
    <t>2026-05-10</t>
  </si>
  <si>
    <t>2026-06-10</t>
  </si>
  <si>
    <t>Đúng hạn</t>
  </si>
  <si>
    <t>HS-2026-003</t>
  </si>
  <si>
    <t>Xin cấp phép xây dựng nhà ở riêng lẻ</t>
  </si>
  <si>
    <t>Lê Văn C</t>
  </si>
  <si>
    <t>2026-06-15</t>
  </si>
  <si>
    <t>2026-06-30</t>
  </si>
  <si>
    <t>Đang xử lý</t>
  </si>
  <si>
    <t>Trong hạn</t>
  </si>
  <si>
    <t>HS-2026-004</t>
  </si>
  <si>
    <t>Trợ cấp bảo trợ xã hội hàng tháng</t>
  </si>
  <si>
    <t>Phạm Văn D</t>
  </si>
  <si>
    <t>2026-06-20</t>
  </si>
  <si>
    <t>2026-06-27</t>
  </si>
  <si>
    <t>HS-2026-005</t>
  </si>
  <si>
    <t>Đăng ký kết hôn có yếu tố nước ngoài</t>
  </si>
  <si>
    <t>Hoàng Đạt M</t>
  </si>
  <si>
    <t>2026-05-02</t>
  </si>
  <si>
    <t>2026-05-15</t>
  </si>
  <si>
    <t>HS-2026-006</t>
  </si>
  <si>
    <t>Chuyển mục đích sử dụng đất</t>
  </si>
  <si>
    <t>Đặng Thị E</t>
  </si>
  <si>
    <t>2026-04-12</t>
  </si>
  <si>
    <t>2026-05-12</t>
  </si>
  <si>
    <t>Trễ hạn</t>
  </si>
  <si>
    <t>HS-2026-007</t>
  </si>
  <si>
    <t>Cấp chứng chỉ quy hoạch</t>
  </si>
  <si>
    <t>Vũ Hoàng G</t>
  </si>
  <si>
    <t>2026-06-22</t>
  </si>
  <si>
    <t>2026-07-05</t>
  </si>
  <si>
    <t>HS-2026-008</t>
  </si>
  <si>
    <t>Xác nhận lý lịch tư pháp</t>
  </si>
  <si>
    <t>Đỗ Thị H</t>
  </si>
  <si>
    <t>2026-06-25</t>
  </si>
  <si>
    <t>2026-06-28</t>
  </si>
  <si>
    <t>HS-2026-009</t>
  </si>
  <si>
    <t>Mai táng phí cho đối tượng người có công</t>
  </si>
  <si>
    <t>Bùi Văn K</t>
  </si>
  <si>
    <t>2026-05-14</t>
  </si>
  <si>
    <t>2026-05-21</t>
  </si>
  <si>
    <t>HS-2026-010</t>
  </si>
  <si>
    <t>Gia hạn sử dụng đất ngoại doanh nghiệp</t>
  </si>
  <si>
    <t>Công ty TNHH Thắng Lợi</t>
  </si>
  <si>
    <t>2026-05-20</t>
  </si>
  <si>
    <t>HS-2026-011</t>
  </si>
  <si>
    <t>Trích lục bản sao hộ tịch</t>
  </si>
  <si>
    <t>Nguyễn Lê T</t>
  </si>
  <si>
    <t>2026-06-26</t>
  </si>
  <si>
    <t>HS-2026-012</t>
  </si>
  <si>
    <t>Cấp phép sửa chữa công trình hạ tầng</t>
  </si>
  <si>
    <t>Tổng Công ty K</t>
  </si>
  <si>
    <t>2026-05-05</t>
  </si>
  <si>
    <t>2026-05-25</t>
  </si>
  <si>
    <t>HS-2026-013</t>
  </si>
  <si>
    <t>Đăng ký nhận con nuôi</t>
  </si>
  <si>
    <t>Trịnh Đình P</t>
  </si>
  <si>
    <t>2026-06-11</t>
  </si>
  <si>
    <t>HS-2026-014</t>
  </si>
  <si>
    <t>Cấp thẻ BHYT cho trẻ em dưới 6 tuổi</t>
  </si>
  <si>
    <t>Lý Thị N</t>
  </si>
  <si>
    <t>2026-06-24</t>
  </si>
  <si>
    <t>HS-2026-015</t>
  </si>
  <si>
    <t>Đo đạc lập bản đồ địa chính</t>
  </si>
  <si>
    <t>Nguyễn Văn Hoà</t>
  </si>
  <si>
    <t>2026-06-02</t>
  </si>
  <si>
    <t>HS-2026-016</t>
  </si>
  <si>
    <t>Cấp phép triển khai biển quảng cáo lớn</t>
  </si>
  <si>
    <t>Công ty Truyền thông Á Châu</t>
  </si>
  <si>
    <t>2026-06-18</t>
  </si>
  <si>
    <t>2026-07-02</t>
  </si>
  <si>
    <t>HS-2026-017</t>
  </si>
  <si>
    <t>Thay đổi, cải chính hộ tịch cho người lớn</t>
  </si>
  <si>
    <t>Phan Thanh B bình</t>
  </si>
  <si>
    <t>2026-05-18</t>
  </si>
  <si>
    <t>2026-05-28</t>
  </si>
  <si>
    <t>HS-2026-018</t>
  </si>
  <si>
    <t>Xác nhận hỗ trợ hộ nghèo khó khăn</t>
  </si>
  <si>
    <t>Trần Văn Tốt</t>
  </si>
  <si>
    <t>2026-06-19</t>
  </si>
  <si>
    <t>HS-2026-019</t>
  </si>
  <si>
    <t>Cấp lại sổ đỏ do bị mất</t>
  </si>
  <si>
    <t>Lê Hữu Đạo</t>
  </si>
  <si>
    <t>2026-04-05</t>
  </si>
  <si>
    <t>HS-2026-020</t>
  </si>
  <si>
    <t>Phê duyệt thiết kế phòng cháy cơ sở</t>
  </si>
  <si>
    <t>Trường Tiểu Học Bình Minh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</si>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</sst>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name val="Segoe UI"/>
    </font>
    <font>
      <sz val="11"/>
      <name val="Segoe UI"/>
    </font>
    <font>
      <b/>
      <sz val="10"/>
      <color rgb="FF1F4E5B"/>
      <name val="Segoe UI"/>
    </font>
    <font>
      <b/>
      <sz val="16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E2ECEE"/>
        <bgColor rgb="FFE2ECEE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A5D1D6"/>
      </left>
      <right style="thin">
        <color rgb="FFA5D1D6"/>
      </right>
      <top style="thin">
        <color rgb="FFA5D1D6"/>
      </top>
      <bottom style="thin">
        <color rgb="FFA5D1D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E4" sqref="E4"/>
    </sheetView>
  </sheetViews>
  <sheetFormatPr defaultRowHeight="14.5" x14ac:dyDescent="0.35"/>
  <cols>
    <col min="1" max="1" width="18.453125" bestFit="1" customWidth="1"/>
    <col min="2" max="2" width="32" customWidth="1"/>
    <col min="3" max="6" width="18" customWidth="1"/>
  </cols>
  <sheetData>
    <row r="1" spans="1:6" ht="25" customHeight="1" x14ac:dyDescent="0.35">
      <c r="A1" s="19" t="s">
        <v>0</v>
      </c>
      <c r="B1" s="20"/>
      <c r="C1" s="20"/>
      <c r="D1" s="20"/>
      <c r="E1" s="20"/>
      <c r="F1" s="20"/>
    </row>
    <row r="2" spans="1:6" ht="25" customHeight="1" x14ac:dyDescent="0.35">
      <c r="A2" s="20"/>
      <c r="B2" s="20"/>
      <c r="C2" s="20"/>
      <c r="D2" s="20"/>
      <c r="E2" s="20"/>
      <c r="F2" s="20"/>
    </row>
    <row r="4" spans="1:6" ht="16.5" x14ac:dyDescent="0.45">
      <c r="A4" s="1" t="s">
        <v>1</v>
      </c>
      <c r="B4" s="2" t="s">
        <v>2</v>
      </c>
    </row>
    <row r="5" spans="1:6" ht="16.5" x14ac:dyDescent="0.45">
      <c r="A5" s="1" t="s">
        <v>3</v>
      </c>
      <c r="B5" s="2" t="s">
        <v>4</v>
      </c>
    </row>
    <row r="7" spans="1:6" ht="32" x14ac:dyDescent="0.35">
      <c r="B7" s="3" t="s">
        <v>5</v>
      </c>
      <c r="C7" s="3" t="s">
        <v>6</v>
      </c>
      <c r="D7" s="3" t="s">
        <v>7</v>
      </c>
      <c r="E7" s="3" t="s">
        <v>8</v>
      </c>
    </row>
    <row r="8" spans="1:6" ht="25" x14ac:dyDescent="0.35">
      <c r="B8" s="4">
        <f>SUM('Dữ Liệu Chi Tiết'!F4:F23)</f>
        <v>84</v>
      </c>
      <c r="C8" s="4">
        <f>COUNTIF('Dữ Liệu Chi Tiết'!I4:I23, "Đúng hạn") + COUNTIF('Dữ Liệu Chi Tiết'!I4:I23, "Trước hạn")</f>
        <v>10</v>
      </c>
      <c r="D8" s="4">
        <f>COUNTIF('Dữ Liệu Chi Tiết'!H4:H23, "Đang xử lý")</f>
        <v>7</v>
      </c>
      <c r="E8" s="4">
        <f>COUNTIF('Dữ Liệu Chi Tiết'!I4:I23, "Trễ hạn")</f>
        <v>4</v>
      </c>
    </row>
    <row r="11" spans="1:6" ht="16.5" x14ac:dyDescent="0.35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</row>
    <row r="12" spans="1:6" ht="16.5" x14ac:dyDescent="0.45">
      <c r="A12" s="6">
        <v>1</v>
      </c>
      <c r="B12" s="7" t="s">
        <v>15</v>
      </c>
      <c r="C12" s="8">
        <f>COUNTIF('Dữ Liệu Chi Tiết'!C4:C23, "Phòng Tư pháp")</f>
        <v>6</v>
      </c>
      <c r="D12" s="8">
        <f>COUNTIF('Dữ Liệu Chi Tiết'!C4:C23, "Phòng Tư pháp")-COUNTIFS('Dữ Liệu Chi Tiết'!C4:C23, "Phòng Tư pháp", 'Dữ Liệu Chi Tiết'!H4:H23, "Đang xử lý")</f>
        <v>4</v>
      </c>
      <c r="E12" s="8">
        <f>COUNTIFS('Dữ Liệu Chi Tiết'!C4:C23, "Phòng Tư pháp", 'Dữ Liệu Chi Tiết'!H4:H23, "Đang xử lý")</f>
        <v>2</v>
      </c>
      <c r="F12" s="9">
        <f>COUNTIFS('Dữ Liệu Chi Tiết'!C4:C23, "Phòng Tư pháp", 'Dữ Liệu Chi Tiết'!I4:I23, "&lt;&gt;Trễ hạn") / C12</f>
        <v>0.83333333333333337</v>
      </c>
    </row>
    <row r="13" spans="1:6" ht="16.5" x14ac:dyDescent="0.45">
      <c r="A13" s="6">
        <v>2</v>
      </c>
      <c r="B13" s="7" t="s">
        <v>16</v>
      </c>
      <c r="C13" s="8">
        <f>COUNTIF('Dữ Liệu Chi Tiết'!C4:C23, "Phòng Tài nguyên và Môi trường")</f>
        <v>5</v>
      </c>
      <c r="D13" s="8">
        <f>COUNTIF('Dữ Liệu Chi Tiết'!C4:C23, "Phòng Tài nguyên và Môi trường")-COUNTIFS('Dữ Liệu Chi Tiết'!C4:C23, "Phòng Tài nguyên và Môi trường", 'Dữ Liệu Chi Tiết'!H4:H23, "Đang xử lý")</f>
        <v>4</v>
      </c>
      <c r="E13" s="8">
        <f>COUNTIFS('Dữ Liệu Chi Tiết'!C4:C23, "Phòng Tài nguyên và Môi trường", 'Dữ Liệu Chi Tiết'!H4:H23, "Đang xử lý")</f>
        <v>1</v>
      </c>
      <c r="F13" s="9">
        <f>COUNTIFS('Dữ Liệu Chi Tiết'!C4:C23, "Phòng Tài nguyên và Môi trường", 'Dữ Liệu Chi Tiết'!I4:I23, "&lt;&gt;Trễ hạn") / C13</f>
        <v>0.4</v>
      </c>
    </row>
    <row r="14" spans="1:6" ht="16.5" x14ac:dyDescent="0.45">
      <c r="A14" s="6">
        <v>3</v>
      </c>
      <c r="B14" s="7" t="s">
        <v>17</v>
      </c>
      <c r="C14" s="8">
        <f>COUNTIF('Dữ Liệu Chi Tiết'!C4:C23, "Phòng Quản lý Đô thị")</f>
        <v>5</v>
      </c>
      <c r="D14" s="8">
        <f>COUNTIF('Dữ Liệu Chi Tiết'!C4:C23, "Phòng Quản lý Đô thị")-COUNTIFS('Dữ Liệu Chi Tiết'!C4:C23, "Phòng Quản lý Đô thị", 'Dữ Liệu Chi Tiết'!H4:H23, "Đang xử lý")</f>
        <v>2</v>
      </c>
      <c r="E14" s="8">
        <f>COUNTIFS('Dữ Liệu Chi Tiết'!C4:C23, "Phòng Quản lý Đô thị", 'Dữ Liệu Chi Tiết'!H4:H23, "Đang xử lý")</f>
        <v>3</v>
      </c>
      <c r="F14" s="9">
        <f>COUNTIFS('Dữ Liệu Chi Tiết'!C4:C23, "Phòng Quản lý Đô thị", 'Dữ Liệu Chi Tiết'!I4:I23, "&lt;&gt;Trễ hạn") / C14</f>
        <v>1</v>
      </c>
    </row>
    <row r="15" spans="1:6" ht="16.5" x14ac:dyDescent="0.45">
      <c r="A15" s="6">
        <v>4</v>
      </c>
      <c r="B15" s="7" t="s">
        <v>18</v>
      </c>
      <c r="C15" s="8">
        <f>COUNTIF('Dữ Liệu Chi Tiết'!C4:C23, "Phòng Lao động - TB&amp;XH")</f>
        <v>4</v>
      </c>
      <c r="D15" s="8">
        <f>COUNTIF('Dữ Liệu Chi Tiết'!C4:C23, "Phòng Lao động - TB&amp;XH")-COUNTIFS('Dữ Liệu Chi Tiết'!C4:C23, "Phòng Lao động - TB&amp;XH", 'Dữ Liệu Chi Tiết'!H4:H23, "Đang xử lý")</f>
        <v>3</v>
      </c>
      <c r="E15" s="8">
        <f>COUNTIFS('Dữ Liệu Chi Tiết'!C4:C23, "Phòng Lao động - TB&amp;XH", 'Dữ Liệu Chi Tiết'!H4:H23, "Đang xử lý")</f>
        <v>1</v>
      </c>
      <c r="F15" s="9">
        <f>COUNTIFS('Dữ Liệu Chi Tiết'!C4:C23, "Phòng Lao động - TB&amp;XH", 'Dữ Liệu Chi Tiết'!I4:I23, "&lt;&gt;Trễ hạn") / C15</f>
        <v>1</v>
      </c>
    </row>
    <row r="16" spans="1:6" ht="16.5" x14ac:dyDescent="0.45">
      <c r="A16" s="17" t="s">
        <v>19</v>
      </c>
      <c r="B16" s="18"/>
      <c r="C16" s="10">
        <f>SUM(C12:C15)</f>
        <v>20</v>
      </c>
      <c r="D16" s="10">
        <f>SUM(D12:D15)</f>
        <v>13</v>
      </c>
      <c r="E16" s="10">
        <f>SUM(E12:E15)</f>
        <v>7</v>
      </c>
      <c r="F16" s="11">
        <f>AVERAGE(F12:F15)</f>
        <v>0.80833333333333335</v>
      </c>
    </row>
  </sheetData>
  <mergeCells count="2">
    <mergeCell ref="A16:B16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23"/>
  <sheetViews>
    <sheetView tabSelected="1" zoomScale="70" zoomScaleNormal="7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5" customWidth="1"/>
    <col min="2" max="2" width="45" customWidth="1"/>
    <col min="3" max="3" width="30" customWidth="1"/>
    <col min="4" max="4" width="25" customWidth="1"/>
    <col min="5" max="5" width="18" customWidth="1"/>
    <col min="6" max="6" width="21" customWidth="1"/>
    <col min="7" max="7" width="19" customWidth="1"/>
    <col min="8" max="8" width="18" customWidth="1"/>
    <col min="9" max="9" width="20" customWidth="1"/>
  </cols>
  <sheetData>
    <row r="3" spans="1:9" ht="28" customHeight="1" x14ac:dyDescent="0.35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28</v>
      </c>
    </row>
    <row r="4" spans="1:9" ht="16.5" x14ac:dyDescent="0.45">
      <c r="A4" s="13" t="s">
        <v>29</v>
      </c>
      <c r="B4" s="14" t="s">
        <v>30</v>
      </c>
      <c r="C4" s="14" t="s">
        <v>15</v>
      </c>
      <c r="D4" s="14" t="s">
        <v>31</v>
      </c>
      <c r="E4" s="13" t="s">
        <v>32</v>
      </c>
      <c r="F4" s="15">
        <v>3</v>
      </c>
      <c r="G4" s="13" t="s">
        <v>33</v>
      </c>
      <c r="H4" s="13" t="s">
        <v>34</v>
      </c>
      <c r="I4" s="13" t="s">
        <v>35</v>
      </c>
    </row>
    <row r="5" spans="1:9" ht="16.5" x14ac:dyDescent="0.45">
      <c r="A5" s="6" t="s">
        <v>36</v>
      </c>
      <c r="B5" s="16" t="s">
        <v>37</v>
      </c>
      <c r="C5" s="16" t="s">
        <v>16</v>
      </c>
      <c r="D5" s="16" t="s">
        <v>38</v>
      </c>
      <c r="E5" s="6" t="s">
        <v>39</v>
      </c>
      <c r="F5" s="8">
        <v>7</v>
      </c>
      <c r="G5" s="6" t="s">
        <v>40</v>
      </c>
      <c r="H5" s="6" t="s">
        <v>34</v>
      </c>
      <c r="I5" s="6" t="s">
        <v>41</v>
      </c>
    </row>
    <row r="6" spans="1:9" ht="16.5" x14ac:dyDescent="0.45">
      <c r="A6" s="13" t="s">
        <v>42</v>
      </c>
      <c r="B6" s="14" t="s">
        <v>43</v>
      </c>
      <c r="C6" s="14" t="s">
        <v>17</v>
      </c>
      <c r="D6" s="14" t="s">
        <v>44</v>
      </c>
      <c r="E6" s="13" t="s">
        <v>45</v>
      </c>
      <c r="F6" s="15">
        <v>5</v>
      </c>
      <c r="G6" s="13" t="s">
        <v>46</v>
      </c>
      <c r="H6" s="13" t="s">
        <v>47</v>
      </c>
      <c r="I6" s="13" t="s">
        <v>48</v>
      </c>
    </row>
    <row r="7" spans="1:9" ht="16.5" x14ac:dyDescent="0.45">
      <c r="A7" s="6" t="s">
        <v>49</v>
      </c>
      <c r="B7" s="16" t="s">
        <v>50</v>
      </c>
      <c r="C7" s="16" t="s">
        <v>18</v>
      </c>
      <c r="D7" s="16" t="s">
        <v>51</v>
      </c>
      <c r="E7" s="6" t="s">
        <v>52</v>
      </c>
      <c r="F7" s="8">
        <v>2</v>
      </c>
      <c r="G7" s="6" t="s">
        <v>53</v>
      </c>
      <c r="H7" s="6" t="s">
        <v>47</v>
      </c>
      <c r="I7" s="6" t="s">
        <v>48</v>
      </c>
    </row>
    <row r="8" spans="1:9" ht="16.5" x14ac:dyDescent="0.45">
      <c r="A8" s="13" t="s">
        <v>54</v>
      </c>
      <c r="B8" s="14" t="s">
        <v>55</v>
      </c>
      <c r="C8" s="14" t="s">
        <v>15</v>
      </c>
      <c r="D8" s="14" t="s">
        <v>56</v>
      </c>
      <c r="E8" s="13" t="s">
        <v>57</v>
      </c>
      <c r="F8" s="15">
        <v>4</v>
      </c>
      <c r="G8" s="13" t="s">
        <v>58</v>
      </c>
      <c r="H8" s="13" t="s">
        <v>34</v>
      </c>
      <c r="I8" s="13" t="s">
        <v>41</v>
      </c>
    </row>
    <row r="9" spans="1:9" ht="16.5" x14ac:dyDescent="0.45">
      <c r="A9" s="6" t="s">
        <v>59</v>
      </c>
      <c r="B9" s="16" t="s">
        <v>60</v>
      </c>
      <c r="C9" s="16" t="s">
        <v>16</v>
      </c>
      <c r="D9" s="16" t="s">
        <v>61</v>
      </c>
      <c r="E9" s="6" t="s">
        <v>62</v>
      </c>
      <c r="F9" s="8">
        <v>6</v>
      </c>
      <c r="G9" s="6" t="s">
        <v>63</v>
      </c>
      <c r="H9" s="6" t="s">
        <v>34</v>
      </c>
      <c r="I9" s="6" t="s">
        <v>64</v>
      </c>
    </row>
    <row r="10" spans="1:9" ht="16.5" x14ac:dyDescent="0.45">
      <c r="A10" s="13" t="s">
        <v>65</v>
      </c>
      <c r="B10" s="14" t="s">
        <v>66</v>
      </c>
      <c r="C10" s="14" t="s">
        <v>17</v>
      </c>
      <c r="D10" s="14" t="s">
        <v>67</v>
      </c>
      <c r="E10" s="13" t="s">
        <v>68</v>
      </c>
      <c r="F10" s="15">
        <v>3</v>
      </c>
      <c r="G10" s="13" t="s">
        <v>69</v>
      </c>
      <c r="H10" s="13" t="s">
        <v>47</v>
      </c>
      <c r="I10" s="13" t="s">
        <v>48</v>
      </c>
    </row>
    <row r="11" spans="1:9" ht="16.5" x14ac:dyDescent="0.45">
      <c r="A11" s="6" t="s">
        <v>70</v>
      </c>
      <c r="B11" s="16" t="s">
        <v>71</v>
      </c>
      <c r="C11" s="16" t="s">
        <v>15</v>
      </c>
      <c r="D11" s="16" t="s">
        <v>72</v>
      </c>
      <c r="E11" s="6" t="s">
        <v>73</v>
      </c>
      <c r="F11" s="8">
        <v>2</v>
      </c>
      <c r="G11" s="6" t="s">
        <v>74</v>
      </c>
      <c r="H11" s="6" t="s">
        <v>47</v>
      </c>
      <c r="I11" s="6" t="s">
        <v>48</v>
      </c>
    </row>
    <row r="12" spans="1:9" ht="16.5" x14ac:dyDescent="0.45">
      <c r="A12" s="13" t="s">
        <v>75</v>
      </c>
      <c r="B12" s="14" t="s">
        <v>76</v>
      </c>
      <c r="C12" s="14" t="s">
        <v>18</v>
      </c>
      <c r="D12" s="14" t="s">
        <v>77</v>
      </c>
      <c r="E12" s="13" t="s">
        <v>78</v>
      </c>
      <c r="F12" s="15">
        <v>4</v>
      </c>
      <c r="G12" s="13" t="s">
        <v>79</v>
      </c>
      <c r="H12" s="13" t="s">
        <v>34</v>
      </c>
      <c r="I12" s="13" t="s">
        <v>41</v>
      </c>
    </row>
    <row r="13" spans="1:9" ht="16.5" x14ac:dyDescent="0.45">
      <c r="A13" s="6" t="s">
        <v>80</v>
      </c>
      <c r="B13" s="16" t="s">
        <v>81</v>
      </c>
      <c r="C13" s="16" t="s">
        <v>16</v>
      </c>
      <c r="D13" s="16" t="s">
        <v>82</v>
      </c>
      <c r="E13" s="6" t="s">
        <v>83</v>
      </c>
      <c r="F13" s="8">
        <v>9</v>
      </c>
      <c r="G13" s="6" t="s">
        <v>52</v>
      </c>
      <c r="H13" s="6" t="s">
        <v>47</v>
      </c>
      <c r="I13" s="6" t="s">
        <v>64</v>
      </c>
    </row>
    <row r="14" spans="1:9" ht="16.5" x14ac:dyDescent="0.45">
      <c r="A14" s="13" t="s">
        <v>84</v>
      </c>
      <c r="B14" s="14" t="s">
        <v>85</v>
      </c>
      <c r="C14" s="14" t="s">
        <v>15</v>
      </c>
      <c r="D14" s="14" t="s">
        <v>86</v>
      </c>
      <c r="E14" s="13" t="s">
        <v>87</v>
      </c>
      <c r="F14" s="15">
        <v>1</v>
      </c>
      <c r="G14" s="13" t="s">
        <v>53</v>
      </c>
      <c r="H14" s="13" t="s">
        <v>47</v>
      </c>
      <c r="I14" s="13" t="s">
        <v>48</v>
      </c>
    </row>
    <row r="15" spans="1:9" ht="16.5" x14ac:dyDescent="0.45">
      <c r="A15" s="6" t="s">
        <v>88</v>
      </c>
      <c r="B15" s="16" t="s">
        <v>89</v>
      </c>
      <c r="C15" s="16" t="s">
        <v>17</v>
      </c>
      <c r="D15" s="16" t="s">
        <v>90</v>
      </c>
      <c r="E15" s="6" t="s">
        <v>91</v>
      </c>
      <c r="F15" s="8">
        <v>8</v>
      </c>
      <c r="G15" s="6" t="s">
        <v>92</v>
      </c>
      <c r="H15" s="6" t="s">
        <v>34</v>
      </c>
      <c r="I15" s="6" t="s">
        <v>41</v>
      </c>
    </row>
    <row r="16" spans="1:9" ht="16.5" x14ac:dyDescent="0.45">
      <c r="A16" s="13" t="s">
        <v>93</v>
      </c>
      <c r="B16" s="14" t="s">
        <v>94</v>
      </c>
      <c r="C16" s="14" t="s">
        <v>15</v>
      </c>
      <c r="D16" s="14" t="s">
        <v>95</v>
      </c>
      <c r="E16" s="13" t="s">
        <v>96</v>
      </c>
      <c r="F16" s="15">
        <v>5</v>
      </c>
      <c r="G16" s="13" t="s">
        <v>73</v>
      </c>
      <c r="H16" s="13" t="s">
        <v>34</v>
      </c>
      <c r="I16" s="13" t="s">
        <v>35</v>
      </c>
    </row>
    <row r="17" spans="1:9" ht="16.5" x14ac:dyDescent="0.45">
      <c r="A17" s="6" t="s">
        <v>97</v>
      </c>
      <c r="B17" s="16" t="s">
        <v>98</v>
      </c>
      <c r="C17" s="16" t="s">
        <v>18</v>
      </c>
      <c r="D17" s="16" t="s">
        <v>99</v>
      </c>
      <c r="E17" s="6" t="s">
        <v>100</v>
      </c>
      <c r="F17" s="8">
        <v>2</v>
      </c>
      <c r="G17" s="6" t="s">
        <v>87</v>
      </c>
      <c r="H17" s="6" t="s">
        <v>34</v>
      </c>
      <c r="I17" s="6" t="s">
        <v>41</v>
      </c>
    </row>
    <row r="18" spans="1:9" ht="16.5" x14ac:dyDescent="0.45">
      <c r="A18" s="13" t="s">
        <v>101</v>
      </c>
      <c r="B18" s="14" t="s">
        <v>102</v>
      </c>
      <c r="C18" s="14" t="s">
        <v>16</v>
      </c>
      <c r="D18" s="14" t="s">
        <v>103</v>
      </c>
      <c r="E18" s="13" t="s">
        <v>104</v>
      </c>
      <c r="F18" s="15">
        <v>4</v>
      </c>
      <c r="G18" s="13" t="s">
        <v>68</v>
      </c>
      <c r="H18" s="13" t="s">
        <v>34</v>
      </c>
      <c r="I18" s="13" t="s">
        <v>41</v>
      </c>
    </row>
    <row r="19" spans="1:9" ht="16.5" x14ac:dyDescent="0.45">
      <c r="A19" s="6" t="s">
        <v>105</v>
      </c>
      <c r="B19" s="16" t="s">
        <v>106</v>
      </c>
      <c r="C19" s="16" t="s">
        <v>17</v>
      </c>
      <c r="D19" s="16" t="s">
        <v>107</v>
      </c>
      <c r="E19" s="6" t="s">
        <v>108</v>
      </c>
      <c r="F19" s="8">
        <v>3</v>
      </c>
      <c r="G19" s="6" t="s">
        <v>109</v>
      </c>
      <c r="H19" s="6" t="s">
        <v>47</v>
      </c>
      <c r="I19" s="6" t="s">
        <v>48</v>
      </c>
    </row>
    <row r="20" spans="1:9" ht="16.5" x14ac:dyDescent="0.45">
      <c r="A20" s="13" t="s">
        <v>110</v>
      </c>
      <c r="B20" s="14" t="s">
        <v>111</v>
      </c>
      <c r="C20" s="14" t="s">
        <v>15</v>
      </c>
      <c r="D20" s="14" t="s">
        <v>112</v>
      </c>
      <c r="E20" s="13" t="s">
        <v>113</v>
      </c>
      <c r="F20" s="15">
        <v>3</v>
      </c>
      <c r="G20" s="13" t="s">
        <v>114</v>
      </c>
      <c r="H20" s="13" t="s">
        <v>34</v>
      </c>
      <c r="I20" s="13" t="s">
        <v>64</v>
      </c>
    </row>
    <row r="21" spans="1:9" ht="16.5" x14ac:dyDescent="0.45">
      <c r="A21" s="6" t="s">
        <v>115</v>
      </c>
      <c r="B21" s="16" t="s">
        <v>116</v>
      </c>
      <c r="C21" s="16" t="s">
        <v>18</v>
      </c>
      <c r="D21" s="16" t="s">
        <v>117</v>
      </c>
      <c r="E21" s="6" t="s">
        <v>118</v>
      </c>
      <c r="F21" s="8">
        <v>2</v>
      </c>
      <c r="G21" s="6" t="s">
        <v>100</v>
      </c>
      <c r="H21" s="6" t="s">
        <v>34</v>
      </c>
      <c r="I21" s="6" t="s">
        <v>41</v>
      </c>
    </row>
    <row r="22" spans="1:9" ht="16.5" x14ac:dyDescent="0.45">
      <c r="A22" s="13" t="s">
        <v>119</v>
      </c>
      <c r="B22" s="14" t="s">
        <v>120</v>
      </c>
      <c r="C22" s="14" t="s">
        <v>16</v>
      </c>
      <c r="D22" s="14" t="s">
        <v>121</v>
      </c>
      <c r="E22" s="13" t="s">
        <v>122</v>
      </c>
      <c r="F22" s="15">
        <v>5</v>
      </c>
      <c r="G22" s="13" t="s">
        <v>91</v>
      </c>
      <c r="H22" s="13" t="s">
        <v>34</v>
      </c>
      <c r="I22" s="13" t="s">
        <v>64</v>
      </c>
    </row>
    <row r="23" spans="1:9" ht="16.5" x14ac:dyDescent="0.45">
      <c r="A23" s="6" t="s">
        <v>123</v>
      </c>
      <c r="B23" s="16" t="s">
        <v>124</v>
      </c>
      <c r="C23" s="16" t="s">
        <v>17</v>
      </c>
      <c r="D23" s="16" t="s">
        <v>125</v>
      </c>
      <c r="E23" s="6" t="s">
        <v>126</v>
      </c>
      <c r="F23" s="8">
        <v>6</v>
      </c>
      <c r="G23" s="6" t="s">
        <v>68</v>
      </c>
      <c r="H23" s="6" t="s">
        <v>34</v>
      </c>
      <c r="I23" s="6" t="s">
        <v>41</v>
      </c>
    </row>
  </sheetData>
  <dataValidations count="2">
    <dataValidation type="list" allowBlank="1" sqref="H4:H23" xr:uid="{00000000-0002-0000-0100-000000000000}">
      <formula1>"Đang xử lý,Đã trả kết quả,Tạm dừng"</formula1>
    </dataValidation>
    <dataValidation type="list" allowBlank="1" sqref="I4:I23" xr:uid="{00000000-0002-0000-0100-000001000000}">
      <formula1>"Trước hạn,Đúng hạn,Trong hạn,Trễ hạn"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Báo Cáo</vt:lpstr>
      <vt:lpstr>Dữ Liệu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bùi</cp:lastModifiedBy>
  <dcterms:created xsi:type="dcterms:W3CDTF">2026-06-26T07:40:03Z</dcterms:created>
  <dcterms:modified xsi:type="dcterms:W3CDTF">2026-06-26T07:41:56Z</dcterms:modified>
</cp:coreProperties>
</file>